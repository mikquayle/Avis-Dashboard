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  <row r="23">
      <c r="A23" t="inlineStr">
        <is>
          <t>2026-08-13</t>
        </is>
      </c>
      <c r="B23" t="n">
        <v>4.1</v>
      </c>
      <c r="C23" t="n">
        <v>11245</v>
      </c>
      <c r="D23" t="n">
        <v>37</v>
      </c>
      <c r="E23" t="n">
        <v>0</v>
      </c>
      <c r="F23" s="1">
        <f>IFERROR(E23/D23,0)</f>
        <v/>
      </c>
      <c r="G23">
        <f>IF(D23&gt;=Settings!$B$3,"YES","NO")</f>
        <v/>
      </c>
    </row>
    <row r="24">
      <c r="A24" t="inlineStr">
        <is>
          <t>2026-08-14</t>
        </is>
      </c>
      <c r="B24" t="n">
        <v>4.1</v>
      </c>
      <c r="C24" t="n">
        <v>11263</v>
      </c>
      <c r="D24" t="n">
        <v>18</v>
      </c>
      <c r="E24" t="n">
        <v>0</v>
      </c>
      <c r="F24" s="1">
        <f>IFERROR(E24/D24,0)</f>
        <v/>
      </c>
      <c r="G24">
        <f>IF(D24&gt;=Settings!$B$3,"YES","NO")</f>
        <v/>
      </c>
    </row>
    <row r="25">
      <c r="A25" t="inlineStr">
        <is>
          <t>2026-08-15</t>
        </is>
      </c>
      <c r="B25" t="n">
        <v>4.1</v>
      </c>
      <c r="C25" t="n">
        <v>11298</v>
      </c>
      <c r="D25" t="n">
        <v>35</v>
      </c>
      <c r="E25" t="n">
        <v>0</v>
      </c>
      <c r="F25" s="1">
        <f>IFERROR(E25/D25,0)</f>
        <v/>
      </c>
      <c r="G25">
        <f>IF(D25&gt;=Settings!$B$3,"YES","NO")</f>
        <v/>
      </c>
    </row>
    <row r="26">
      <c r="A26" t="inlineStr">
        <is>
          <t>2026-08-16</t>
        </is>
      </c>
      <c r="B26" t="n">
        <v>4.1</v>
      </c>
      <c r="C26" t="n">
        <v>11340</v>
      </c>
      <c r="D26" t="n">
        <v>42</v>
      </c>
      <c r="E26" t="n">
        <v>2</v>
      </c>
      <c r="F26" s="1">
        <f>IFERROR(E26/D26,0)</f>
        <v/>
      </c>
      <c r="G26">
        <f>IF(D26&gt;=Settings!$B$3,"YES","NO")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  <row r="8">
      <c r="A8" t="inlineStr">
        <is>
          <t>2026-08-16</t>
        </is>
      </c>
      <c r="B8" t="inlineStr">
        <is>
          <t>2026-W32</t>
        </is>
      </c>
      <c r="C8" t="inlineStr">
        <is>
          <t>Lyla</t>
        </is>
      </c>
      <c r="D8" t="n">
        <v>1</v>
      </c>
      <c r="E8">
        <f>Settings!$B$4</f>
        <v/>
      </c>
      <c r="F8">
        <f>IF(D8&gt;=E8,"YES","NO")</f>
        <v/>
      </c>
    </row>
    <row r="9">
      <c r="A9" t="inlineStr">
        <is>
          <t>2026-08-16</t>
        </is>
      </c>
      <c r="B9" t="inlineStr">
        <is>
          <t>2026-W32</t>
        </is>
      </c>
      <c r="C9" t="inlineStr">
        <is>
          <t>Cece</t>
        </is>
      </c>
      <c r="D9" t="n">
        <v>1</v>
      </c>
      <c r="E9">
        <f>Settings!$B$4</f>
        <v/>
      </c>
      <c r="F9">
        <f>IF(D9&gt;=E9,"YES","NO")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  <row r="8">
      <c r="A8" t="inlineStr">
        <is>
          <t>2026-W32</t>
        </is>
      </c>
      <c r="B8" t="inlineStr">
        <is>
          <t>Lyla</t>
        </is>
      </c>
      <c r="C8">
        <f>SUMIFS('Shoutouts Daily'!D:D,'Shoutouts Daily'!B:B,A8,'Shoutouts Daily'!C:C,B8)</f>
        <v/>
      </c>
      <c r="D8">
        <f>Settings!$B$4</f>
        <v/>
      </c>
      <c r="E8">
        <f>COUNTIFS('Shoutouts Daily'!B:B,A8,'Shoutouts Daily'!C:C,B8,'Shoutouts Daily'!D:D,"&gt;="&amp;D8)</f>
        <v/>
      </c>
    </row>
    <row r="9">
      <c r="A9" t="inlineStr">
        <is>
          <t>2026-W32</t>
        </is>
      </c>
      <c r="B9" t="inlineStr">
        <is>
          <t>Cece</t>
        </is>
      </c>
      <c r="C9">
        <f>SUMIFS('Shoutouts Daily'!D:D,'Shoutouts Daily'!B:B,A9,'Shoutouts Daily'!C:C,B9)</f>
        <v/>
      </c>
      <c r="D9">
        <f>Settings!$B$4</f>
        <v/>
      </c>
      <c r="E9">
        <f>COUNTIFS('Shoutouts Daily'!B:B,A9,'Shoutouts Daily'!C:C,B9,'Shoutouts Daily'!D:D,"&gt;="&amp;D9)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2026-08-17T13:28:01Z</dcterms:modified>
</cp:coreProperties>
</file>