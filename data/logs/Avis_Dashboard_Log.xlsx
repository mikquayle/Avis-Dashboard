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Daily Summary" sheetId="2" state="visible" r:id="rId2"/>
    <sheet name="Shoutouts Daily" sheetId="3" state="visible" r:id="rId3"/>
    <sheet name="Shoutouts Week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t="inlineStr">
        <is>
          <t>Avis Dashboard — Config</t>
        </is>
      </c>
    </row>
    <row r="3">
      <c r="A3" t="inlineStr">
        <is>
          <t>Daily Review Goal</t>
        </is>
      </c>
      <c r="B3" t="n">
        <v>50</v>
      </c>
    </row>
    <row r="4">
      <c r="A4" t="inlineStr">
        <is>
          <t>Gift Card Shoutout Threshold (mentions/day)</t>
        </is>
      </c>
      <c r="B4" t="n">
        <v>3</v>
      </c>
    </row>
    <row r="5">
      <c r="A5" t="inlineStr">
        <is>
          <t>Work Day Window</t>
        </is>
      </c>
      <c r="B5" t="inlineStr">
        <is>
          <t>6:00 AM – 6:00 AM (next day)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Rating (End of Day)</t>
        </is>
      </c>
      <c r="C1" t="inlineStr">
        <is>
          <t>Total Reviews (End of Day)</t>
        </is>
      </c>
      <c r="D1" t="inlineStr">
        <is>
          <t>True New Reviews Today</t>
        </is>
      </c>
      <c r="E1" t="inlineStr">
        <is>
          <t>Reviews w/ Text Captured</t>
        </is>
      </c>
      <c r="F1" t="inlineStr">
        <is>
          <t>Capture Rate</t>
        </is>
      </c>
      <c r="G1" t="inlineStr">
        <is>
          <t>Daily Goal Met?</t>
        </is>
      </c>
    </row>
    <row r="2">
      <c r="A2" t="inlineStr">
        <is>
          <t>2026-07-01</t>
        </is>
      </c>
      <c r="B2" t="n">
        <v>3.9</v>
      </c>
      <c r="C2" t="n">
        <v>9707</v>
      </c>
      <c r="D2" t="n">
        <v>37</v>
      </c>
      <c r="E2" t="n">
        <v>0</v>
      </c>
      <c r="F2" s="1">
        <f>IFERROR(E2/D2,0)</f>
        <v/>
      </c>
      <c r="G2">
        <f>IF(D2&gt;=Settings!$B$3,"YES","NO")</f>
        <v/>
      </c>
    </row>
    <row r="3">
      <c r="A3" t="inlineStr">
        <is>
          <t>2026-07-02</t>
        </is>
      </c>
      <c r="B3" t="n">
        <v>3.9</v>
      </c>
      <c r="C3" t="n">
        <v>9747</v>
      </c>
      <c r="D3" t="n">
        <v>40</v>
      </c>
      <c r="E3" t="n">
        <v>0</v>
      </c>
      <c r="F3" s="1">
        <f>IFERROR(E3/D3,0)</f>
        <v/>
      </c>
      <c r="G3">
        <f>IF(D3&gt;=Settings!$B$3,"YES","NO")</f>
        <v/>
      </c>
    </row>
    <row r="4">
      <c r="A4" t="inlineStr">
        <is>
          <t>2026-07-03</t>
        </is>
      </c>
      <c r="B4" t="n">
        <v>3.9</v>
      </c>
      <c r="C4" t="n">
        <v>9777</v>
      </c>
      <c r="D4" t="n">
        <v>30</v>
      </c>
      <c r="E4" t="n">
        <v>0</v>
      </c>
      <c r="F4" s="1">
        <f>IFERROR(E4/D4,0)</f>
        <v/>
      </c>
      <c r="G4">
        <f>IF(D4&gt;=Settings!$B$3,"YES","NO")</f>
        <v/>
      </c>
    </row>
    <row r="5">
      <c r="A5" t="inlineStr">
        <is>
          <t>2026-07-04</t>
        </is>
      </c>
      <c r="B5" t="n">
        <v>3.9</v>
      </c>
      <c r="C5" t="n">
        <v>9793</v>
      </c>
      <c r="D5" t="n">
        <v>16</v>
      </c>
      <c r="E5" t="n">
        <v>0</v>
      </c>
      <c r="F5" s="1">
        <f>IFERROR(E5/D5,0)</f>
        <v/>
      </c>
      <c r="G5">
        <f>IF(D5&gt;=Settings!$B$3,"YES","NO")</f>
        <v/>
      </c>
    </row>
    <row r="6">
      <c r="A6" t="inlineStr">
        <is>
          <t>2026-07-05</t>
        </is>
      </c>
      <c r="B6" t="n">
        <v>4</v>
      </c>
      <c r="C6" t="n">
        <v>9823</v>
      </c>
      <c r="D6" t="n">
        <v>30</v>
      </c>
      <c r="E6" t="n">
        <v>0</v>
      </c>
      <c r="F6" s="1">
        <f>IFERROR(E6/D6,0)</f>
        <v/>
      </c>
      <c r="G6">
        <f>IF(D6&gt;=Settings!$B$3,"YES","NO")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Week</t>
        </is>
      </c>
      <c r="C1" t="inlineStr">
        <is>
          <t>Employee (merged name)</t>
        </is>
      </c>
      <c r="D1" t="inlineStr">
        <is>
          <t>Mentions Today</t>
        </is>
      </c>
      <c r="E1" t="inlineStr">
        <is>
          <t>Threshold</t>
        </is>
      </c>
      <c r="F1" t="inlineStr">
        <is>
          <t>Gift Card Earned?</t>
        </is>
      </c>
    </row>
    <row r="2">
      <c r="A2" t="inlineStr">
        <is>
          <t>2026-07-01</t>
        </is>
      </c>
      <c r="B2" t="inlineStr">
        <is>
          <t>2026-W26</t>
        </is>
      </c>
      <c r="C2" t="inlineStr">
        <is>
          <t>Shirley</t>
        </is>
      </c>
      <c r="D2" t="n">
        <v>2</v>
      </c>
      <c r="E2">
        <f>Settings!$B$4</f>
        <v/>
      </c>
      <c r="F2">
        <f>IF(D2&gt;=E2,"YES","NO")</f>
        <v/>
      </c>
    </row>
    <row r="3">
      <c r="A3" t="inlineStr">
        <is>
          <t>2026-07-01</t>
        </is>
      </c>
      <c r="B3" t="inlineStr">
        <is>
          <t>2026-W26</t>
        </is>
      </c>
      <c r="C3" t="inlineStr">
        <is>
          <t>Portia</t>
        </is>
      </c>
      <c r="D3" t="n">
        <v>1</v>
      </c>
      <c r="E3">
        <f>Settings!$B$4</f>
        <v/>
      </c>
      <c r="F3">
        <f>IF(D3&gt;=E3,"YES","NO")</f>
        <v/>
      </c>
    </row>
    <row r="4">
      <c r="A4" t="inlineStr">
        <is>
          <t>2026-07-01</t>
        </is>
      </c>
      <c r="B4" t="inlineStr">
        <is>
          <t>2026-W26</t>
        </is>
      </c>
      <c r="C4" t="inlineStr">
        <is>
          <t>John</t>
        </is>
      </c>
      <c r="D4" t="n">
        <v>1</v>
      </c>
      <c r="E4">
        <f>Settings!$B$4</f>
        <v/>
      </c>
      <c r="F4">
        <f>IF(D4&gt;=E4,"YES","NO")</f>
        <v/>
      </c>
    </row>
    <row r="5">
      <c r="A5" t="inlineStr">
        <is>
          <t>2026-07-01</t>
        </is>
      </c>
      <c r="B5" t="inlineStr">
        <is>
          <t>2026-W26</t>
        </is>
      </c>
      <c r="C5" t="inlineStr">
        <is>
          <t>Miles</t>
        </is>
      </c>
      <c r="D5" t="n">
        <v>1</v>
      </c>
      <c r="E5">
        <f>Settings!$B$4</f>
        <v/>
      </c>
      <c r="F5">
        <f>IF(D5&gt;=E5,"YES","NO")</f>
        <v/>
      </c>
    </row>
    <row r="6">
      <c r="A6" t="inlineStr">
        <is>
          <t>2026-07-01</t>
        </is>
      </c>
      <c r="B6" t="inlineStr">
        <is>
          <t>2026-W26</t>
        </is>
      </c>
      <c r="C6" t="inlineStr">
        <is>
          <t>Cece</t>
        </is>
      </c>
      <c r="D6" t="n">
        <v>1</v>
      </c>
      <c r="E6">
        <f>Settings!$B$4</f>
        <v/>
      </c>
      <c r="F6">
        <f>IF(D6&gt;=E6,"YES","NO")</f>
        <v/>
      </c>
    </row>
    <row r="7">
      <c r="A7" t="inlineStr">
        <is>
          <t>2026-07-01</t>
        </is>
      </c>
      <c r="B7" t="inlineStr">
        <is>
          <t>2026-W26</t>
        </is>
      </c>
      <c r="C7" t="inlineStr">
        <is>
          <t>Kendrick</t>
        </is>
      </c>
      <c r="D7" t="n">
        <v>1</v>
      </c>
      <c r="E7">
        <f>Settings!$B$4</f>
        <v/>
      </c>
      <c r="F7">
        <f>IF(D7&gt;=E7,"YES","NO")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Employee (merged name)</t>
        </is>
      </c>
      <c r="C1" t="inlineStr">
        <is>
          <t>Total Mentions</t>
        </is>
      </c>
      <c r="D1" t="inlineStr">
        <is>
          <t>Threshold</t>
        </is>
      </c>
      <c r="E1" t="inlineStr">
        <is>
          <t>Gift Cards Earned (days met)</t>
        </is>
      </c>
    </row>
    <row r="2">
      <c r="A2" t="inlineStr">
        <is>
          <t>2026-W26</t>
        </is>
      </c>
      <c r="B2" t="inlineStr">
        <is>
          <t>Shirley</t>
        </is>
      </c>
      <c r="C2">
        <f>SUMIFS('Shoutouts Daily'!D:D,'Shoutouts Daily'!B:B,A2,'Shoutouts Daily'!C:C,B2)</f>
        <v/>
      </c>
      <c r="D2">
        <f>Settings!$B$4</f>
        <v/>
      </c>
      <c r="E2">
        <f>COUNTIFS('Shoutouts Daily'!B:B,A2,'Shoutouts Daily'!C:C,B2,'Shoutouts Daily'!D:D,"&gt;="&amp;D2)</f>
        <v/>
      </c>
    </row>
    <row r="3">
      <c r="A3" t="inlineStr">
        <is>
          <t>2026-W26</t>
        </is>
      </c>
      <c r="B3" t="inlineStr">
        <is>
          <t>Portia</t>
        </is>
      </c>
      <c r="C3">
        <f>SUMIFS('Shoutouts Daily'!D:D,'Shoutouts Daily'!B:B,A3,'Shoutouts Daily'!C:C,B3)</f>
        <v/>
      </c>
      <c r="D3">
        <f>Settings!$B$4</f>
        <v/>
      </c>
      <c r="E3">
        <f>COUNTIFS('Shoutouts Daily'!B:B,A3,'Shoutouts Daily'!C:C,B3,'Shoutouts Daily'!D:D,"&gt;="&amp;D3)</f>
        <v/>
      </c>
    </row>
    <row r="4">
      <c r="A4" t="inlineStr">
        <is>
          <t>2026-W26</t>
        </is>
      </c>
      <c r="B4" t="inlineStr">
        <is>
          <t>John</t>
        </is>
      </c>
      <c r="C4">
        <f>SUMIFS('Shoutouts Daily'!D:D,'Shoutouts Daily'!B:B,A4,'Shoutouts Daily'!C:C,B4)</f>
        <v/>
      </c>
      <c r="D4">
        <f>Settings!$B$4</f>
        <v/>
      </c>
      <c r="E4">
        <f>COUNTIFS('Shoutouts Daily'!B:B,A4,'Shoutouts Daily'!C:C,B4,'Shoutouts Daily'!D:D,"&gt;="&amp;D4)</f>
        <v/>
      </c>
    </row>
    <row r="5">
      <c r="A5" t="inlineStr">
        <is>
          <t>2026-W26</t>
        </is>
      </c>
      <c r="B5" t="inlineStr">
        <is>
          <t>Miles</t>
        </is>
      </c>
      <c r="C5">
        <f>SUMIFS('Shoutouts Daily'!D:D,'Shoutouts Daily'!B:B,A5,'Shoutouts Daily'!C:C,B5)</f>
        <v/>
      </c>
      <c r="D5">
        <f>Settings!$B$4</f>
        <v/>
      </c>
      <c r="E5">
        <f>COUNTIFS('Shoutouts Daily'!B:B,A5,'Shoutouts Daily'!C:C,B5,'Shoutouts Daily'!D:D,"&gt;="&amp;D5)</f>
        <v/>
      </c>
    </row>
    <row r="6">
      <c r="A6" t="inlineStr">
        <is>
          <t>2026-W26</t>
        </is>
      </c>
      <c r="B6" t="inlineStr">
        <is>
          <t>Cece</t>
        </is>
      </c>
      <c r="C6">
        <f>SUMIFS('Shoutouts Daily'!D:D,'Shoutouts Daily'!B:B,A6,'Shoutouts Daily'!C:C,B6)</f>
        <v/>
      </c>
      <c r="D6">
        <f>Settings!$B$4</f>
        <v/>
      </c>
      <c r="E6">
        <f>COUNTIFS('Shoutouts Daily'!B:B,A6,'Shoutouts Daily'!C:C,B6,'Shoutouts Daily'!D:D,"&gt;="&amp;D6)</f>
        <v/>
      </c>
    </row>
    <row r="7">
      <c r="A7" t="inlineStr">
        <is>
          <t>2026-W26</t>
        </is>
      </c>
      <c r="B7" t="inlineStr">
        <is>
          <t>Kendrick</t>
        </is>
      </c>
      <c r="C7">
        <f>SUMIFS('Shoutouts Daily'!D:D,'Shoutouts Daily'!B:B,A7,'Shoutouts Daily'!C:C,B7)</f>
        <v/>
      </c>
      <c r="D7">
        <f>Settings!$B$4</f>
        <v/>
      </c>
      <c r="E7">
        <f>COUNTIFS('Shoutouts Daily'!B:B,A7,'Shoutouts Daily'!C:C,B7,'Shoutouts Daily'!D:D,"&gt;="&amp;D7)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2026-07-02T13:00:24Z</dcterms:created>
  <dcterms:modified xsi:type="dcterms:W3CDTF">2026-07-06T13:00:34Z</dcterms:modified>
</cp:coreProperties>
</file>