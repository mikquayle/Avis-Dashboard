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Daily Summary" sheetId="2" state="visible" r:id="rId2"/>
    <sheet name="Shoutouts Daily" sheetId="3" state="visible" r:id="rId3"/>
    <sheet name="Shoutouts Week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</cols>
  <sheetData>
    <row r="1">
      <c r="A1" t="inlineStr">
        <is>
          <t>Avis Dashboard — Config</t>
        </is>
      </c>
    </row>
    <row r="3">
      <c r="A3" t="inlineStr">
        <is>
          <t>Daily Review Goal</t>
        </is>
      </c>
      <c r="B3" t="n">
        <v>50</v>
      </c>
    </row>
    <row r="4">
      <c r="A4" t="inlineStr">
        <is>
          <t>Gift Card Shoutout Threshold (mentions/day)</t>
        </is>
      </c>
      <c r="B4" t="n">
        <v>3</v>
      </c>
    </row>
    <row r="5">
      <c r="A5" t="inlineStr">
        <is>
          <t>Work Day Window</t>
        </is>
      </c>
      <c r="B5" t="inlineStr">
        <is>
          <t>6:00 AM – 6:00 AM (next day)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Rating (End of Day)</t>
        </is>
      </c>
      <c r="C1" t="inlineStr">
        <is>
          <t>Total Reviews (End of Day)</t>
        </is>
      </c>
      <c r="D1" t="inlineStr">
        <is>
          <t>True New Reviews Today</t>
        </is>
      </c>
      <c r="E1" t="inlineStr">
        <is>
          <t>Reviews w/ Text Captured</t>
        </is>
      </c>
      <c r="F1" t="inlineStr">
        <is>
          <t>Capture Rate</t>
        </is>
      </c>
      <c r="G1" t="inlineStr">
        <is>
          <t>Daily Goal Met?</t>
        </is>
      </c>
    </row>
    <row r="2">
      <c r="A2" t="inlineStr">
        <is>
          <t>2026-07-01</t>
        </is>
      </c>
      <c r="B2" t="n">
        <v>3.9</v>
      </c>
      <c r="C2" t="n">
        <v>9707</v>
      </c>
      <c r="D2" t="n">
        <v>37</v>
      </c>
      <c r="E2" t="n">
        <v>0</v>
      </c>
      <c r="F2" s="1">
        <f>IFERROR(E2/D2,0)</f>
        <v/>
      </c>
      <c r="G2">
        <f>IF(D2&gt;=Settings!$B$3,"YES","NO")</f>
        <v/>
      </c>
    </row>
    <row r="3">
      <c r="A3" t="inlineStr">
        <is>
          <t>2026-07-02</t>
        </is>
      </c>
      <c r="B3" t="n">
        <v>3.9</v>
      </c>
      <c r="C3" t="n">
        <v>9747</v>
      </c>
      <c r="D3" t="n">
        <v>40</v>
      </c>
      <c r="E3" t="n">
        <v>0</v>
      </c>
      <c r="F3" s="1">
        <f>IFERROR(E3/D3,0)</f>
        <v/>
      </c>
      <c r="G3">
        <f>IF(D3&gt;=Settings!$B$3,"YES","NO")</f>
        <v/>
      </c>
    </row>
    <row r="4">
      <c r="A4" t="inlineStr">
        <is>
          <t>2026-07-03</t>
        </is>
      </c>
      <c r="B4" t="n">
        <v>3.9</v>
      </c>
      <c r="C4" t="n">
        <v>9777</v>
      </c>
      <c r="D4" t="n">
        <v>30</v>
      </c>
      <c r="E4" t="n">
        <v>0</v>
      </c>
      <c r="F4" s="1">
        <f>IFERROR(E4/D4,0)</f>
        <v/>
      </c>
      <c r="G4">
        <f>IF(D4&gt;=Settings!$B$3,"YES","NO")</f>
        <v/>
      </c>
    </row>
    <row r="5">
      <c r="A5" t="inlineStr">
        <is>
          <t>2026-07-04</t>
        </is>
      </c>
      <c r="B5" t="n">
        <v>3.9</v>
      </c>
      <c r="C5" t="n">
        <v>9793</v>
      </c>
      <c r="D5" t="n">
        <v>16</v>
      </c>
      <c r="E5" t="n">
        <v>0</v>
      </c>
      <c r="F5" s="1">
        <f>IFERROR(E5/D5,0)</f>
        <v/>
      </c>
      <c r="G5">
        <f>IF(D5&gt;=Settings!$B$3,"YES","NO")</f>
        <v/>
      </c>
    </row>
    <row r="6">
      <c r="A6" t="inlineStr">
        <is>
          <t>2026-07-05</t>
        </is>
      </c>
      <c r="B6" t="n">
        <v>4</v>
      </c>
      <c r="C6" t="n">
        <v>9823</v>
      </c>
      <c r="D6" t="n">
        <v>30</v>
      </c>
      <c r="E6" t="n">
        <v>0</v>
      </c>
      <c r="F6" s="1">
        <f>IFERROR(E6/D6,0)</f>
        <v/>
      </c>
      <c r="G6">
        <f>IF(D6&gt;=Settings!$B$3,"YES","NO")</f>
        <v/>
      </c>
    </row>
    <row r="7">
      <c r="A7" t="inlineStr">
        <is>
          <t>2026-07-06</t>
        </is>
      </c>
      <c r="B7" t="n">
        <v>4</v>
      </c>
      <c r="C7" t="n">
        <v>9914</v>
      </c>
      <c r="D7" t="n">
        <v>91</v>
      </c>
      <c r="E7" t="n">
        <v>0</v>
      </c>
      <c r="F7" s="1">
        <f>IFERROR(E7/D7,0)</f>
        <v/>
      </c>
      <c r="G7">
        <f>IF(D7&gt;=Settings!$B$3,"YES","NO")</f>
        <v/>
      </c>
    </row>
    <row r="8">
      <c r="A8" t="inlineStr">
        <is>
          <t>2026-07-07</t>
        </is>
      </c>
      <c r="B8" t="n">
        <v>4</v>
      </c>
      <c r="C8" t="n">
        <v>9960</v>
      </c>
      <c r="D8" t="n">
        <v>46</v>
      </c>
      <c r="E8" t="n">
        <v>0</v>
      </c>
      <c r="F8" s="1">
        <f>IFERROR(E8/D8,0)</f>
        <v/>
      </c>
      <c r="G8">
        <f>IF(D8&gt;=Settings!$B$3,"YES","NO")</f>
        <v/>
      </c>
    </row>
    <row r="9">
      <c r="A9" t="inlineStr">
        <is>
          <t>2026-07-08</t>
        </is>
      </c>
      <c r="B9" t="n">
        <v>4</v>
      </c>
      <c r="C9" t="n">
        <v>9986</v>
      </c>
      <c r="D9" t="n">
        <v>26</v>
      </c>
      <c r="E9" t="n">
        <v>0</v>
      </c>
      <c r="F9" s="1">
        <f>IFERROR(E9/D9,0)</f>
        <v/>
      </c>
      <c r="G9">
        <f>IF(D9&gt;=Settings!$B$3,"YES","NO")</f>
        <v/>
      </c>
    </row>
    <row r="10">
      <c r="A10" t="inlineStr">
        <is>
          <t>2026-07-09</t>
        </is>
      </c>
      <c r="B10" t="n">
        <v>4</v>
      </c>
      <c r="C10" t="n">
        <v>10052</v>
      </c>
      <c r="D10" t="n">
        <v>66</v>
      </c>
      <c r="E10" t="n">
        <v>0</v>
      </c>
      <c r="F10" s="1">
        <f>IFERROR(E10/D10,0)</f>
        <v/>
      </c>
      <c r="G10">
        <f>IF(D10&gt;=Settings!$B$3,"YES","NO")</f>
        <v/>
      </c>
    </row>
    <row r="11">
      <c r="A11" t="inlineStr">
        <is>
          <t>2026-07-10</t>
        </is>
      </c>
      <c r="B11" t="n">
        <v>4</v>
      </c>
      <c r="C11" t="n">
        <v>10080</v>
      </c>
      <c r="D11" t="n">
        <v>28</v>
      </c>
      <c r="E11" t="n">
        <v>0</v>
      </c>
      <c r="F11" s="1">
        <f>IFERROR(E11/D11,0)</f>
        <v/>
      </c>
      <c r="G11">
        <f>IF(D11&gt;=Settings!$B$3,"YES","NO")</f>
        <v/>
      </c>
    </row>
    <row r="12">
      <c r="A12" t="inlineStr">
        <is>
          <t>2026-07-11</t>
        </is>
      </c>
      <c r="B12" t="n">
        <v>4</v>
      </c>
      <c r="C12" t="n">
        <v>10110</v>
      </c>
      <c r="D12" t="n">
        <v>30</v>
      </c>
      <c r="E12" t="n">
        <v>0</v>
      </c>
      <c r="F12" s="1">
        <f>IFERROR(E12/D12,0)</f>
        <v/>
      </c>
      <c r="G12">
        <f>IF(D12&gt;=Settings!$B$3,"YES","NO")</f>
        <v/>
      </c>
    </row>
    <row r="13">
      <c r="A13" t="inlineStr">
        <is>
          <t>2026-07-25</t>
        </is>
      </c>
      <c r="B13" t="n">
        <v>4</v>
      </c>
      <c r="C13" t="n">
        <v>10695</v>
      </c>
      <c r="D13" t="n">
        <v>47</v>
      </c>
      <c r="E13" t="n">
        <v>0</v>
      </c>
      <c r="F13" s="1">
        <f>IFERROR(E13/D13,0)</f>
        <v/>
      </c>
      <c r="G13">
        <f>IF(D13&gt;=Settings!$B$3,"YES","NO")</f>
        <v/>
      </c>
    </row>
    <row r="14">
      <c r="A14" t="inlineStr">
        <is>
          <t>2026-07-26</t>
        </is>
      </c>
      <c r="B14" t="n">
        <v>4</v>
      </c>
      <c r="C14" t="n">
        <v>10776</v>
      </c>
      <c r="D14" t="n">
        <v>81</v>
      </c>
      <c r="E14" t="n">
        <v>0</v>
      </c>
      <c r="F14" s="1">
        <f>IFERROR(E14/D14,0)</f>
        <v/>
      </c>
      <c r="G14">
        <f>IF(D14&gt;=Settings!$B$3,"YES","NO")</f>
        <v/>
      </c>
    </row>
    <row r="15">
      <c r="A15" t="inlineStr">
        <is>
          <t>2026-07-27</t>
        </is>
      </c>
      <c r="B15" t="n">
        <v>4</v>
      </c>
      <c r="C15" t="n">
        <v>10816</v>
      </c>
      <c r="D15" t="n">
        <v>40</v>
      </c>
      <c r="E15" t="n">
        <v>0</v>
      </c>
      <c r="F15" s="1">
        <f>IFERROR(E15/D15,0)</f>
        <v/>
      </c>
      <c r="G15">
        <f>IF(D15&gt;=Settings!$B$3,"YES","NO")</f>
        <v/>
      </c>
    </row>
    <row r="16">
      <c r="A16" t="inlineStr">
        <is>
          <t>2026-08-01</t>
        </is>
      </c>
      <c r="B16" t="n">
        <v>4</v>
      </c>
      <c r="C16" t="n">
        <v>10832</v>
      </c>
      <c r="D16" t="n">
        <v>20</v>
      </c>
      <c r="E16" t="n">
        <v>0</v>
      </c>
      <c r="F16" s="1">
        <f>IFERROR(E16/D16,0)</f>
        <v/>
      </c>
      <c r="G16">
        <f>IF(D16&gt;=Settings!$B$3,"YES","NO")</f>
        <v/>
      </c>
    </row>
    <row r="17">
      <c r="A17" t="inlineStr">
        <is>
          <t>2026-08-05</t>
        </is>
      </c>
      <c r="B17" t="n">
        <v>4.1</v>
      </c>
      <c r="C17" t="n">
        <v>10968</v>
      </c>
      <c r="D17" t="n">
        <v>22</v>
      </c>
      <c r="E17" t="n">
        <v>0</v>
      </c>
      <c r="F17" s="1">
        <f>IFERROR(E17/D17,0)</f>
        <v/>
      </c>
      <c r="G17">
        <f>IF(D17&gt;=Settings!$B$3,"YES","NO")</f>
        <v/>
      </c>
    </row>
    <row r="18">
      <c r="A18" t="inlineStr">
        <is>
          <t>2026-08-06</t>
        </is>
      </c>
      <c r="B18" t="n">
        <v>4.1</v>
      </c>
      <c r="C18" t="n">
        <v>10997</v>
      </c>
      <c r="D18" t="n">
        <v>29</v>
      </c>
      <c r="E18" t="n">
        <v>0</v>
      </c>
      <c r="F18" s="1">
        <f>IFERROR(E18/D18,0)</f>
        <v/>
      </c>
      <c r="G18">
        <f>IF(D18&gt;=Settings!$B$3,"YES","NO")</f>
        <v/>
      </c>
    </row>
    <row r="19">
      <c r="A19" t="inlineStr">
        <is>
          <t>2026-08-07</t>
        </is>
      </c>
      <c r="B19" t="n">
        <v>4.1</v>
      </c>
      <c r="C19" t="n">
        <v>11033</v>
      </c>
      <c r="D19" t="n">
        <v>36</v>
      </c>
      <c r="E19" t="n">
        <v>0</v>
      </c>
      <c r="F19" s="1">
        <f>IFERROR(E19/D19,0)</f>
        <v/>
      </c>
      <c r="G19">
        <f>IF(D19&gt;=Settings!$B$3,"YES","NO")</f>
        <v/>
      </c>
    </row>
    <row r="20">
      <c r="A20" t="inlineStr">
        <is>
          <t>2026-08-08</t>
        </is>
      </c>
      <c r="B20" t="n">
        <v>4.1</v>
      </c>
      <c r="C20" t="n">
        <v>11049</v>
      </c>
      <c r="D20" t="n">
        <v>16</v>
      </c>
      <c r="E20" t="n">
        <v>0</v>
      </c>
      <c r="F20" s="1">
        <f>IFERROR(E20/D20,0)</f>
        <v/>
      </c>
      <c r="G20">
        <f>IF(D20&gt;=Settings!$B$3,"YES","NO")</f>
        <v/>
      </c>
    </row>
    <row r="21">
      <c r="A21" t="inlineStr">
        <is>
          <t>2026-08-10</t>
        </is>
      </c>
      <c r="B21" t="n">
        <v>4.1</v>
      </c>
      <c r="C21" t="n">
        <v>11157</v>
      </c>
      <c r="D21" t="n">
        <v>51</v>
      </c>
      <c r="E21" t="n">
        <v>0</v>
      </c>
      <c r="F21" s="1">
        <f>IFERROR(E21/D21,0)</f>
        <v/>
      </c>
      <c r="G21">
        <f>IF(D21&gt;=Settings!$B$3,"YES","NO")</f>
        <v/>
      </c>
    </row>
    <row r="22">
      <c r="A22" t="inlineStr">
        <is>
          <t>2026-08-11</t>
        </is>
      </c>
      <c r="B22" t="n">
        <v>4.1</v>
      </c>
      <c r="C22" t="n">
        <v>11195</v>
      </c>
      <c r="D22" t="n">
        <v>38</v>
      </c>
      <c r="E22" t="n">
        <v>0</v>
      </c>
      <c r="F22" s="1">
        <f>IFERROR(E22/D22,0)</f>
        <v/>
      </c>
      <c r="G22">
        <f>IF(D22&gt;=Settings!$B$3,"YES","NO")</f>
        <v/>
      </c>
    </row>
    <row r="23">
      <c r="A23" t="inlineStr">
        <is>
          <t>2026-08-13</t>
        </is>
      </c>
      <c r="B23" t="n">
        <v>4.1</v>
      </c>
      <c r="C23" t="n">
        <v>11245</v>
      </c>
      <c r="D23" t="n">
        <v>37</v>
      </c>
      <c r="E23" t="n">
        <v>0</v>
      </c>
      <c r="F23" s="1">
        <f>IFERROR(E23/D23,0)</f>
        <v/>
      </c>
      <c r="G23">
        <f>IF(D23&gt;=Settings!$B$3,"YES","NO")</f>
        <v/>
      </c>
    </row>
    <row r="24">
      <c r="A24" t="inlineStr">
        <is>
          <t>2026-08-14</t>
        </is>
      </c>
      <c r="B24" t="n">
        <v>4.1</v>
      </c>
      <c r="C24" t="n">
        <v>11263</v>
      </c>
      <c r="D24" t="n">
        <v>18</v>
      </c>
      <c r="E24" t="n">
        <v>0</v>
      </c>
      <c r="F24" s="1">
        <f>IFERROR(E24/D24,0)</f>
        <v/>
      </c>
      <c r="G24">
        <f>IF(D24&gt;=Settings!$B$3,"YES","NO")</f>
        <v/>
      </c>
    </row>
    <row r="25">
      <c r="A25" t="inlineStr">
        <is>
          <t>2026-08-15</t>
        </is>
      </c>
      <c r="B25" t="n">
        <v>4.1</v>
      </c>
      <c r="C25" t="n">
        <v>11298</v>
      </c>
      <c r="D25" t="n">
        <v>35</v>
      </c>
      <c r="E25" t="n">
        <v>0</v>
      </c>
      <c r="F25" s="1">
        <f>IFERROR(E25/D25,0)</f>
        <v/>
      </c>
      <c r="G25">
        <f>IF(D25&gt;=Settings!$B$3,"YES","NO")</f>
        <v/>
      </c>
    </row>
    <row r="26">
      <c r="A26" t="inlineStr">
        <is>
          <t>2026-08-16</t>
        </is>
      </c>
      <c r="B26" t="n">
        <v>4.1</v>
      </c>
      <c r="C26" t="n">
        <v>11340</v>
      </c>
      <c r="D26" t="n">
        <v>42</v>
      </c>
      <c r="E26" t="n">
        <v>2</v>
      </c>
      <c r="F26" s="1">
        <f>IFERROR(E26/D26,0)</f>
        <v/>
      </c>
      <c r="G26">
        <f>IF(D26&gt;=Settings!$B$3,"YES","NO")</f>
        <v/>
      </c>
    </row>
    <row r="27">
      <c r="A27" t="inlineStr">
        <is>
          <t>2026-08-17</t>
        </is>
      </c>
      <c r="B27" t="n">
        <v>4.1</v>
      </c>
      <c r="C27" t="n">
        <v>11411</v>
      </c>
      <c r="D27" t="n">
        <v>71</v>
      </c>
      <c r="E27" t="n">
        <v>0</v>
      </c>
      <c r="F27" s="1">
        <f>IFERROR(E27/D27,0)</f>
        <v/>
      </c>
      <c r="G27">
        <f>IF(D27&gt;=Settings!$B$3,"YES","NO")</f>
        <v/>
      </c>
    </row>
    <row r="28">
      <c r="A28" t="inlineStr">
        <is>
          <t>2026-08-18</t>
        </is>
      </c>
      <c r="B28" t="n">
        <v>4.1</v>
      </c>
      <c r="C28" t="n">
        <v>11467</v>
      </c>
      <c r="D28" t="n">
        <v>56</v>
      </c>
      <c r="E28" t="n">
        <v>0</v>
      </c>
      <c r="F28" s="1">
        <f>IFERROR(E28/D28,0)</f>
        <v/>
      </c>
      <c r="G28">
        <f>IF(D28&gt;=Settings!$B$3,"YES","NO")</f>
        <v/>
      </c>
    </row>
    <row r="29">
      <c r="A29" t="inlineStr">
        <is>
          <t>2026-08-19</t>
        </is>
      </c>
      <c r="B29" t="n">
        <v>4.1</v>
      </c>
      <c r="C29" t="n">
        <v>11492</v>
      </c>
      <c r="D29" t="n">
        <v>25</v>
      </c>
      <c r="E29" t="n">
        <v>0</v>
      </c>
      <c r="F29" s="1">
        <f>IFERROR(E29/D29,0)</f>
        <v/>
      </c>
      <c r="G29">
        <f>IF(D29&gt;=Settings!$B$3,"YES","NO")</f>
        <v/>
      </c>
    </row>
    <row r="30">
      <c r="A30" t="inlineStr">
        <is>
          <t>2026-08-20</t>
        </is>
      </c>
      <c r="B30" t="n">
        <v>4.1</v>
      </c>
      <c r="C30" t="n">
        <v>11514</v>
      </c>
      <c r="D30" t="n">
        <v>22</v>
      </c>
      <c r="E30" t="n">
        <v>0</v>
      </c>
      <c r="F30" s="1">
        <f>IFERROR(E30/D30,0)</f>
        <v/>
      </c>
      <c r="G30">
        <f>IF(D30&gt;=Settings!$B$3,"YES","NO")</f>
        <v/>
      </c>
    </row>
    <row r="31">
      <c r="A31" t="inlineStr">
        <is>
          <t>2026-08-21</t>
        </is>
      </c>
      <c r="B31" t="n">
        <v>4.1</v>
      </c>
      <c r="C31" t="n">
        <v>11537</v>
      </c>
      <c r="D31" t="n">
        <v>23</v>
      </c>
      <c r="E31" t="n">
        <v>0</v>
      </c>
      <c r="F31" s="1">
        <f>IFERROR(E31/D31,0)</f>
        <v/>
      </c>
      <c r="G31">
        <f>IF(D31&gt;=Settings!$B$3,"YES","NO")</f>
        <v/>
      </c>
    </row>
    <row r="32">
      <c r="A32" t="inlineStr">
        <is>
          <t>2026-08-22</t>
        </is>
      </c>
      <c r="B32" t="n">
        <v>4.1</v>
      </c>
      <c r="C32" t="n">
        <v>11564</v>
      </c>
      <c r="D32" t="n">
        <v>27</v>
      </c>
      <c r="E32" t="n">
        <v>0</v>
      </c>
      <c r="F32" s="1">
        <f>IFERROR(E32/D32,0)</f>
        <v/>
      </c>
      <c r="G32">
        <f>IF(D32&gt;=Settings!$B$3,"YES","NO")</f>
        <v/>
      </c>
    </row>
    <row r="33">
      <c r="A33" t="inlineStr">
        <is>
          <t>2026-08-23</t>
        </is>
      </c>
      <c r="B33" t="n">
        <v>4.1</v>
      </c>
      <c r="C33" t="n">
        <v>11620</v>
      </c>
      <c r="D33" t="n">
        <v>56</v>
      </c>
      <c r="E33" t="n">
        <v>0</v>
      </c>
      <c r="F33" s="1">
        <f>IFERROR(E33/D33,0)</f>
        <v/>
      </c>
      <c r="G33">
        <f>IF(D33&gt;=Settings!$B$3,"YES","NO")</f>
        <v/>
      </c>
    </row>
    <row r="34">
      <c r="A34" t="inlineStr">
        <is>
          <t>2026-08-24</t>
        </is>
      </c>
      <c r="B34" t="n">
        <v>4.1</v>
      </c>
      <c r="C34" t="n">
        <v>11685</v>
      </c>
      <c r="D34" t="n">
        <v>65</v>
      </c>
      <c r="E34" t="n">
        <v>0</v>
      </c>
      <c r="F34" s="1">
        <f>IFERROR(E34/D34,0)</f>
        <v/>
      </c>
      <c r="G34">
        <f>IF(D34&gt;=Settings!$B$3,"YES","NO")</f>
        <v/>
      </c>
    </row>
    <row r="35">
      <c r="A35" t="inlineStr">
        <is>
          <t>2026-08-25</t>
        </is>
      </c>
      <c r="B35" t="n">
        <v>4.1</v>
      </c>
      <c r="C35" t="n">
        <v>11721</v>
      </c>
      <c r="D35" t="n">
        <v>36</v>
      </c>
      <c r="E35" t="n">
        <v>0</v>
      </c>
      <c r="F35" s="1">
        <f>IFERROR(E35/D35,0)</f>
        <v/>
      </c>
      <c r="G35">
        <f>IF(D35&gt;=Settings!$B$3,"YES","NO")</f>
        <v/>
      </c>
    </row>
    <row r="36">
      <c r="A36" t="inlineStr">
        <is>
          <t>2026-08-29</t>
        </is>
      </c>
      <c r="B36" t="n">
        <v>4.1</v>
      </c>
      <c r="C36" t="n">
        <v>11896</v>
      </c>
      <c r="D36" t="n">
        <v>69</v>
      </c>
      <c r="E36" t="n">
        <v>0</v>
      </c>
      <c r="F36" s="1">
        <f>IFERROR(E36/D36,0)</f>
        <v/>
      </c>
      <c r="G36">
        <f>IF(D36&gt;=Settings!$B$3,"YES","NO")</f>
        <v/>
      </c>
    </row>
    <row r="37">
      <c r="A37" t="inlineStr">
        <is>
          <t>2026-09-01</t>
        </is>
      </c>
      <c r="B37" t="n">
        <v>4.1</v>
      </c>
      <c r="C37" t="n">
        <v>12061</v>
      </c>
      <c r="D37" t="n">
        <v>60</v>
      </c>
      <c r="E37" t="n">
        <v>0</v>
      </c>
      <c r="F37" s="1">
        <f>IFERROR(E37/D37,0)</f>
        <v/>
      </c>
      <c r="G37">
        <f>IF(D37&gt;=Settings!$B$3,"YES","NO")</f>
        <v/>
      </c>
    </row>
    <row r="38">
      <c r="A38" t="inlineStr">
        <is>
          <t>2026-09-02</t>
        </is>
      </c>
      <c r="B38" t="n">
        <v>4.1</v>
      </c>
      <c r="C38" t="n">
        <v>12102</v>
      </c>
      <c r="D38" t="n">
        <v>41</v>
      </c>
      <c r="E38" t="n">
        <v>0</v>
      </c>
      <c r="F38" s="1">
        <f>IFERROR(E38/D38,0)</f>
        <v/>
      </c>
      <c r="G38">
        <f>IF(D38&gt;=Settings!$B$3,"YES","NO")</f>
        <v/>
      </c>
    </row>
    <row r="39">
      <c r="A39" t="inlineStr">
        <is>
          <t>2026-09-03</t>
        </is>
      </c>
      <c r="B39" t="n">
        <v>4.1</v>
      </c>
      <c r="C39" t="n">
        <v>12149</v>
      </c>
      <c r="D39" t="n">
        <v>47</v>
      </c>
      <c r="E39" t="n">
        <v>0</v>
      </c>
      <c r="F39" s="1">
        <f>IFERROR(E39/D39,0)</f>
        <v/>
      </c>
      <c r="G39">
        <f>IF(D39&gt;=Settings!$B$3,"YES","NO")</f>
        <v/>
      </c>
    </row>
    <row r="40">
      <c r="A40" t="inlineStr">
        <is>
          <t>2026-09-07</t>
        </is>
      </c>
      <c r="B40" t="n">
        <v>4.2</v>
      </c>
      <c r="C40" t="n">
        <v>12309</v>
      </c>
      <c r="D40" t="n">
        <v>42</v>
      </c>
      <c r="E40" t="n">
        <v>0</v>
      </c>
      <c r="F40" s="1">
        <f>IFERROR(E40/D40,0)</f>
        <v/>
      </c>
      <c r="G40">
        <f>IF(D40&gt;=Settings!$B$3,"YES","NO")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</t>
        </is>
      </c>
      <c r="C1" t="inlineStr">
        <is>
          <t>Employee (merged name)</t>
        </is>
      </c>
      <c r="D1" t="inlineStr">
        <is>
          <t>Mentions Today</t>
        </is>
      </c>
      <c r="E1" t="inlineStr">
        <is>
          <t>Threshold</t>
        </is>
      </c>
      <c r="F1" t="inlineStr">
        <is>
          <t>Gift Card Earned?</t>
        </is>
      </c>
    </row>
    <row r="2">
      <c r="A2" t="inlineStr">
        <is>
          <t>2026-07-01</t>
        </is>
      </c>
      <c r="B2" t="inlineStr">
        <is>
          <t>2026-W26</t>
        </is>
      </c>
      <c r="C2" t="inlineStr">
        <is>
          <t>Shirley</t>
        </is>
      </c>
      <c r="D2" t="n">
        <v>2</v>
      </c>
      <c r="E2">
        <f>Settings!$B$4</f>
        <v/>
      </c>
      <c r="F2">
        <f>IF(D2&gt;=E2,"YES","NO")</f>
        <v/>
      </c>
    </row>
    <row r="3">
      <c r="A3" t="inlineStr">
        <is>
          <t>2026-07-01</t>
        </is>
      </c>
      <c r="B3" t="inlineStr">
        <is>
          <t>2026-W26</t>
        </is>
      </c>
      <c r="C3" t="inlineStr">
        <is>
          <t>Portia</t>
        </is>
      </c>
      <c r="D3" t="n">
        <v>1</v>
      </c>
      <c r="E3">
        <f>Settings!$B$4</f>
        <v/>
      </c>
      <c r="F3">
        <f>IF(D3&gt;=E3,"YES","NO")</f>
        <v/>
      </c>
    </row>
    <row r="4">
      <c r="A4" t="inlineStr">
        <is>
          <t>2026-07-01</t>
        </is>
      </c>
      <c r="B4" t="inlineStr">
        <is>
          <t>2026-W26</t>
        </is>
      </c>
      <c r="C4" t="inlineStr">
        <is>
          <t>John</t>
        </is>
      </c>
      <c r="D4" t="n">
        <v>1</v>
      </c>
      <c r="E4">
        <f>Settings!$B$4</f>
        <v/>
      </c>
      <c r="F4">
        <f>IF(D4&gt;=E4,"YES","NO")</f>
        <v/>
      </c>
    </row>
    <row r="5">
      <c r="A5" t="inlineStr">
        <is>
          <t>2026-07-01</t>
        </is>
      </c>
      <c r="B5" t="inlineStr">
        <is>
          <t>2026-W26</t>
        </is>
      </c>
      <c r="C5" t="inlineStr">
        <is>
          <t>Miles</t>
        </is>
      </c>
      <c r="D5" t="n">
        <v>1</v>
      </c>
      <c r="E5">
        <f>Settings!$B$4</f>
        <v/>
      </c>
      <c r="F5">
        <f>IF(D5&gt;=E5,"YES","NO")</f>
        <v/>
      </c>
    </row>
    <row r="6">
      <c r="A6" t="inlineStr">
        <is>
          <t>2026-07-01</t>
        </is>
      </c>
      <c r="B6" t="inlineStr">
        <is>
          <t>2026-W26</t>
        </is>
      </c>
      <c r="C6" t="inlineStr">
        <is>
          <t>Cece</t>
        </is>
      </c>
      <c r="D6" t="n">
        <v>1</v>
      </c>
      <c r="E6">
        <f>Settings!$B$4</f>
        <v/>
      </c>
      <c r="F6">
        <f>IF(D6&gt;=E6,"YES","NO")</f>
        <v/>
      </c>
    </row>
    <row r="7">
      <c r="A7" t="inlineStr">
        <is>
          <t>2026-07-01</t>
        </is>
      </c>
      <c r="B7" t="inlineStr">
        <is>
          <t>2026-W26</t>
        </is>
      </c>
      <c r="C7" t="inlineStr">
        <is>
          <t>Kendrick</t>
        </is>
      </c>
      <c r="D7" t="n">
        <v>1</v>
      </c>
      <c r="E7">
        <f>Settings!$B$4</f>
        <v/>
      </c>
      <c r="F7">
        <f>IF(D7&gt;=E7,"YES","NO")</f>
        <v/>
      </c>
    </row>
    <row r="8">
      <c r="A8" t="inlineStr">
        <is>
          <t>2026-08-16</t>
        </is>
      </c>
      <c r="B8" t="inlineStr">
        <is>
          <t>2026-W32</t>
        </is>
      </c>
      <c r="C8" t="inlineStr">
        <is>
          <t>Lyla</t>
        </is>
      </c>
      <c r="D8" t="n">
        <v>1</v>
      </c>
      <c r="E8">
        <f>Settings!$B$4</f>
        <v/>
      </c>
      <c r="F8">
        <f>IF(D8&gt;=E8,"YES","NO")</f>
        <v/>
      </c>
    </row>
    <row r="9">
      <c r="A9" t="inlineStr">
        <is>
          <t>2026-08-16</t>
        </is>
      </c>
      <c r="B9" t="inlineStr">
        <is>
          <t>2026-W32</t>
        </is>
      </c>
      <c r="C9" t="inlineStr">
        <is>
          <t>Cece</t>
        </is>
      </c>
      <c r="D9" t="n">
        <v>1</v>
      </c>
      <c r="E9">
        <f>Settings!$B$4</f>
        <v/>
      </c>
      <c r="F9">
        <f>IF(D9&gt;=E9,"YES","NO")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Employee (merged name)</t>
        </is>
      </c>
      <c r="C1" t="inlineStr">
        <is>
          <t>Total Mentions</t>
        </is>
      </c>
      <c r="D1" t="inlineStr">
        <is>
          <t>Threshold</t>
        </is>
      </c>
      <c r="E1" t="inlineStr">
        <is>
          <t>Gift Cards Earned (days met)</t>
        </is>
      </c>
    </row>
    <row r="2">
      <c r="A2" t="inlineStr">
        <is>
          <t>2026-W26</t>
        </is>
      </c>
      <c r="B2" t="inlineStr">
        <is>
          <t>Shirley</t>
        </is>
      </c>
      <c r="C2">
        <f>SUMIFS('Shoutouts Daily'!D:D,'Shoutouts Daily'!B:B,A2,'Shoutouts Daily'!C:C,B2)</f>
        <v/>
      </c>
      <c r="D2">
        <f>Settings!$B$4</f>
        <v/>
      </c>
      <c r="E2">
        <f>COUNTIFS('Shoutouts Daily'!B:B,A2,'Shoutouts Daily'!C:C,B2,'Shoutouts Daily'!D:D,"&gt;="&amp;D2)</f>
        <v/>
      </c>
    </row>
    <row r="3">
      <c r="A3" t="inlineStr">
        <is>
          <t>2026-W26</t>
        </is>
      </c>
      <c r="B3" t="inlineStr">
        <is>
          <t>Portia</t>
        </is>
      </c>
      <c r="C3">
        <f>SUMIFS('Shoutouts Daily'!D:D,'Shoutouts Daily'!B:B,A3,'Shoutouts Daily'!C:C,B3)</f>
        <v/>
      </c>
      <c r="D3">
        <f>Settings!$B$4</f>
        <v/>
      </c>
      <c r="E3">
        <f>COUNTIFS('Shoutouts Daily'!B:B,A3,'Shoutouts Daily'!C:C,B3,'Shoutouts Daily'!D:D,"&gt;="&amp;D3)</f>
        <v/>
      </c>
    </row>
    <row r="4">
      <c r="A4" t="inlineStr">
        <is>
          <t>2026-W26</t>
        </is>
      </c>
      <c r="B4" t="inlineStr">
        <is>
          <t>John</t>
        </is>
      </c>
      <c r="C4">
        <f>SUMIFS('Shoutouts Daily'!D:D,'Shoutouts Daily'!B:B,A4,'Shoutouts Daily'!C:C,B4)</f>
        <v/>
      </c>
      <c r="D4">
        <f>Settings!$B$4</f>
        <v/>
      </c>
      <c r="E4">
        <f>COUNTIFS('Shoutouts Daily'!B:B,A4,'Shoutouts Daily'!C:C,B4,'Shoutouts Daily'!D:D,"&gt;="&amp;D4)</f>
        <v/>
      </c>
    </row>
    <row r="5">
      <c r="A5" t="inlineStr">
        <is>
          <t>2026-W26</t>
        </is>
      </c>
      <c r="B5" t="inlineStr">
        <is>
          <t>Miles</t>
        </is>
      </c>
      <c r="C5">
        <f>SUMIFS('Shoutouts Daily'!D:D,'Shoutouts Daily'!B:B,A5,'Shoutouts Daily'!C:C,B5)</f>
        <v/>
      </c>
      <c r="D5">
        <f>Settings!$B$4</f>
        <v/>
      </c>
      <c r="E5">
        <f>COUNTIFS('Shoutouts Daily'!B:B,A5,'Shoutouts Daily'!C:C,B5,'Shoutouts Daily'!D:D,"&gt;="&amp;D5)</f>
        <v/>
      </c>
    </row>
    <row r="6">
      <c r="A6" t="inlineStr">
        <is>
          <t>2026-W26</t>
        </is>
      </c>
      <c r="B6" t="inlineStr">
        <is>
          <t>Cece</t>
        </is>
      </c>
      <c r="C6">
        <f>SUMIFS('Shoutouts Daily'!D:D,'Shoutouts Daily'!B:B,A6,'Shoutouts Daily'!C:C,B6)</f>
        <v/>
      </c>
      <c r="D6">
        <f>Settings!$B$4</f>
        <v/>
      </c>
      <c r="E6">
        <f>COUNTIFS('Shoutouts Daily'!B:B,A6,'Shoutouts Daily'!C:C,B6,'Shoutouts Daily'!D:D,"&gt;="&amp;D6)</f>
        <v/>
      </c>
    </row>
    <row r="7">
      <c r="A7" t="inlineStr">
        <is>
          <t>2026-W26</t>
        </is>
      </c>
      <c r="B7" t="inlineStr">
        <is>
          <t>Kendrick</t>
        </is>
      </c>
      <c r="C7">
        <f>SUMIFS('Shoutouts Daily'!D:D,'Shoutouts Daily'!B:B,A7,'Shoutouts Daily'!C:C,B7)</f>
        <v/>
      </c>
      <c r="D7">
        <f>Settings!$B$4</f>
        <v/>
      </c>
      <c r="E7">
        <f>COUNTIFS('Shoutouts Daily'!B:B,A7,'Shoutouts Daily'!C:C,B7,'Shoutouts Daily'!D:D,"&gt;="&amp;D7)</f>
        <v/>
      </c>
    </row>
    <row r="8">
      <c r="A8" t="inlineStr">
        <is>
          <t>2026-W32</t>
        </is>
      </c>
      <c r="B8" t="inlineStr">
        <is>
          <t>Lyla</t>
        </is>
      </c>
      <c r="C8">
        <f>SUMIFS('Shoutouts Daily'!D:D,'Shoutouts Daily'!B:B,A8,'Shoutouts Daily'!C:C,B8)</f>
        <v/>
      </c>
      <c r="D8">
        <f>Settings!$B$4</f>
        <v/>
      </c>
      <c r="E8">
        <f>COUNTIFS('Shoutouts Daily'!B:B,A8,'Shoutouts Daily'!C:C,B8,'Shoutouts Daily'!D:D,"&gt;="&amp;D8)</f>
        <v/>
      </c>
    </row>
    <row r="9">
      <c r="A9" t="inlineStr">
        <is>
          <t>2026-W32</t>
        </is>
      </c>
      <c r="B9" t="inlineStr">
        <is>
          <t>Cece</t>
        </is>
      </c>
      <c r="C9">
        <f>SUMIFS('Shoutouts Daily'!D:D,'Shoutouts Daily'!B:B,A9,'Shoutouts Daily'!C:C,B9)</f>
        <v/>
      </c>
      <c r="D9">
        <f>Settings!$B$4</f>
        <v/>
      </c>
      <c r="E9">
        <f>COUNTIFS('Shoutouts Daily'!B:B,A9,'Shoutouts Daily'!C:C,B9,'Shoutouts Daily'!D:D,"&gt;="&amp;D9)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2026-07-02T13:00:24Z</dcterms:created>
  <dcterms:modified xsi:type="dcterms:W3CDTF">2026-09-08T13:57:54Z</dcterms:modified>
</cp:coreProperties>
</file>