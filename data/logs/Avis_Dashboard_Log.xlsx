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  <row r="26">
      <c r="A26" t="inlineStr">
        <is>
          <t>2026-08-16</t>
        </is>
      </c>
      <c r="B26" t="n">
        <v>4.1</v>
      </c>
      <c r="C26" t="n">
        <v>11340</v>
      </c>
      <c r="D26" t="n">
        <v>42</v>
      </c>
      <c r="E26" t="n">
        <v>2</v>
      </c>
      <c r="F26" s="1">
        <f>IFERROR(E26/D26,0)</f>
        <v/>
      </c>
      <c r="G26">
        <f>IF(D26&gt;=Settings!$B$3,"YES","NO")</f>
        <v/>
      </c>
    </row>
    <row r="27">
      <c r="A27" t="inlineStr">
        <is>
          <t>2026-08-17</t>
        </is>
      </c>
      <c r="B27" t="n">
        <v>4.1</v>
      </c>
      <c r="C27" t="n">
        <v>11411</v>
      </c>
      <c r="D27" t="n">
        <v>71</v>
      </c>
      <c r="E27" t="n">
        <v>0</v>
      </c>
      <c r="F27" s="1">
        <f>IFERROR(E27/D27,0)</f>
        <v/>
      </c>
      <c r="G27">
        <f>IF(D27&gt;=Settings!$B$3,"YES","NO")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  <row r="8">
      <c r="A8" t="inlineStr">
        <is>
          <t>2026-08-16</t>
        </is>
      </c>
      <c r="B8" t="inlineStr">
        <is>
          <t>2026-W32</t>
        </is>
      </c>
      <c r="C8" t="inlineStr">
        <is>
          <t>Lyla</t>
        </is>
      </c>
      <c r="D8" t="n">
        <v>1</v>
      </c>
      <c r="E8">
        <f>Settings!$B$4</f>
        <v/>
      </c>
      <c r="F8">
        <f>IF(D8&gt;=E8,"YES","NO")</f>
        <v/>
      </c>
    </row>
    <row r="9">
      <c r="A9" t="inlineStr">
        <is>
          <t>2026-08-16</t>
        </is>
      </c>
      <c r="B9" t="inlineStr">
        <is>
          <t>2026-W32</t>
        </is>
      </c>
      <c r="C9" t="inlineStr">
        <is>
          <t>Cece</t>
        </is>
      </c>
      <c r="D9" t="n">
        <v>1</v>
      </c>
      <c r="E9">
        <f>Settings!$B$4</f>
        <v/>
      </c>
      <c r="F9">
        <f>IF(D9&gt;=E9,"YES","NO")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  <row r="8">
      <c r="A8" t="inlineStr">
        <is>
          <t>2026-W32</t>
        </is>
      </c>
      <c r="B8" t="inlineStr">
        <is>
          <t>Lyla</t>
        </is>
      </c>
      <c r="C8">
        <f>SUMIFS('Shoutouts Daily'!D:D,'Shoutouts Daily'!B:B,A8,'Shoutouts Daily'!C:C,B8)</f>
        <v/>
      </c>
      <c r="D8">
        <f>Settings!$B$4</f>
        <v/>
      </c>
      <c r="E8">
        <f>COUNTIFS('Shoutouts Daily'!B:B,A8,'Shoutouts Daily'!C:C,B8,'Shoutouts Daily'!D:D,"&gt;="&amp;D8)</f>
        <v/>
      </c>
    </row>
    <row r="9">
      <c r="A9" t="inlineStr">
        <is>
          <t>2026-W32</t>
        </is>
      </c>
      <c r="B9" t="inlineStr">
        <is>
          <t>Cece</t>
        </is>
      </c>
      <c r="C9">
        <f>SUMIFS('Shoutouts Daily'!D:D,'Shoutouts Daily'!B:B,A9,'Shoutouts Daily'!C:C,B9)</f>
        <v/>
      </c>
      <c r="D9">
        <f>Settings!$B$4</f>
        <v/>
      </c>
      <c r="E9">
        <f>COUNTIFS('Shoutouts Daily'!B:B,A9,'Shoutouts Daily'!C:C,B9,'Shoutouts Daily'!D:D,"&gt;="&amp;D9)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2026-08-18T13:04:10Z</dcterms:modified>
</cp:coreProperties>
</file>